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ризиків" sheetId="1" state="visible" r:id="rId1"/>
    <sheet xmlns:r="http://schemas.openxmlformats.org/officeDocument/2006/relationships" name="Таблиця критичност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sz val="13"/>
    </font>
    <font>
      <b val="1"/>
      <color rgb="00000000"/>
    </font>
    <font>
      <b val="1"/>
      <color rgb="00FFFFFF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textRotation="90"/>
    </xf>
    <xf numFmtId="0" fontId="2" fillId="0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8" fillId="6" borderId="1" applyAlignment="1" pivotButton="0" quotePrefix="0" xfId="0">
      <alignment horizontal="center"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FF000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6" customWidth="1" min="3" max="3"/>
    <col width="13" customWidth="1" min="4" max="4"/>
    <col width="12" customWidth="1" min="5" max="5"/>
    <col width="13" customWidth="1" min="6" max="6"/>
    <col width="20" customWidth="1" min="7" max="7"/>
    <col width="46" customWidth="1" min="8" max="8"/>
    <col width="44" customWidth="1" min="9" max="9"/>
    <col width="34" customWidth="1" min="10" max="10"/>
    <col width="11" customWidth="1" min="11" max="11"/>
  </cols>
  <sheetData>
    <row r="1">
      <c r="A1" s="1" t="inlineStr">
        <is>
          <t>Реєстр ризиків (Risk Register)</t>
        </is>
      </c>
    </row>
    <row r="2">
      <c r="A2" s="2" t="inlineStr">
        <is>
          <t>Проєкт:</t>
        </is>
      </c>
      <c r="C2" t="inlineStr">
        <is>
          <t>Автоматизована система управління спортивним клубом «OLIMP» – управління тренуваннями, розкладом та членством (Договір № 6767 від 03.02.2026)</t>
        </is>
      </c>
    </row>
    <row r="3">
      <c r="A3" s="2" t="inlineStr">
        <is>
          <t>Керівник проєкту:</t>
        </is>
      </c>
      <c r="C3" t="inlineStr">
        <is>
          <t>Ходаковський Р.О., ТОВ «СИКСЕВЕН»</t>
        </is>
      </c>
    </row>
    <row r="5">
      <c r="A5" s="3" t="inlineStr">
        <is>
          <t>ID</t>
        </is>
      </c>
      <c r="B5" s="3" t="inlineStr">
        <is>
          <t>Дата виявлення</t>
        </is>
      </c>
      <c r="C5" s="3" t="inlineStr">
        <is>
          <t>Опис ризику</t>
        </is>
      </c>
      <c r="D5" s="3" t="inlineStr">
        <is>
          <t>Ймовірність</t>
        </is>
      </c>
      <c r="E5" s="3" t="inlineStr">
        <is>
          <t>Вплив</t>
        </is>
      </c>
      <c r="F5" s="3" t="inlineStr">
        <is>
          <t>Критичність</t>
        </is>
      </c>
      <c r="G5" s="3" t="inlineStr">
        <is>
          <t>Відповідальний</t>
        </is>
      </c>
      <c r="H5" s="3" t="inlineStr">
        <is>
          <t>Превентивні дії</t>
        </is>
      </c>
      <c r="I5" s="3" t="inlineStr">
        <is>
          <t>План реагування</t>
        </is>
      </c>
      <c r="J5" s="3" t="inlineStr">
        <is>
          <t>Прогрес виконання</t>
        </is>
      </c>
      <c r="K5" s="3" t="inlineStr">
        <is>
          <t>Статус</t>
        </is>
      </c>
    </row>
    <row r="6">
      <c r="A6" s="4" t="inlineStr">
        <is>
          <t>І. Проєктні та організаційні ризики</t>
        </is>
      </c>
    </row>
    <row r="7">
      <c r="A7" s="5" t="inlineStr">
        <is>
          <t>1.1</t>
        </is>
      </c>
      <c r="B7" s="5" t="inlineStr">
        <is>
          <t>05.02.2026</t>
        </is>
      </c>
      <c r="C7" s="6" t="inlineStr">
        <is>
          <t>Зрив строків розробки через недооцінку складності задач. У разі настання під загрозою строки етапів і дата передачі системи 25.06.2026.</t>
        </is>
      </c>
      <c r="D7" s="5" t="inlineStr">
        <is>
          <t>Середня</t>
        </is>
      </c>
      <c r="E7" s="5" t="inlineStr">
        <is>
          <t>Високий</t>
        </is>
      </c>
      <c r="F7" s="5">
        <f>IF(OR(D7="",E7=""),"",INDEX({"Низька","Низька","Середня";"Низька","Середня","Висока";"Середня","Висока","Висока"},MATCH(E7,{"Низький","Середній","Високий"},0),MATCH(D7,{"Низька","Середня","Висока"},0)))</f>
        <v/>
      </c>
      <c r="G7" s="6" t="inlineStr">
        <is>
          <t>Керівник проєкту</t>
        </is>
      </c>
      <c r="H7" s="6" t="inlineStr">
        <is>
          <t>Детальне планування двотижневих спринтів; резерв часу в кожному спринті; щоденний контроль темпу за Scrum-дошкою Jira.</t>
        </is>
      </c>
      <c r="I7" s="6" t="inlineStr">
        <is>
          <t>Перегляд обсягу спринту; скорочення некритичного функціоналу за письмовим погодженням із Замовником; перерозподіл задач.</t>
        </is>
      </c>
      <c r="J7" s="6" t="inlineStr">
        <is>
          <t>План спринтів і діаграма Ганта сформовані, буфер закладено.</t>
        </is>
      </c>
      <c r="K7" s="5" t="inlineStr">
        <is>
          <t>Відкрито</t>
        </is>
      </c>
    </row>
    <row r="8">
      <c r="A8" s="5" t="inlineStr">
        <is>
          <t>1.2</t>
        </is>
      </c>
      <c r="B8" s="5" t="inlineStr">
        <is>
          <t>05.02.2026</t>
        </is>
      </c>
      <c r="C8" s="6" t="inlineStr">
        <is>
          <t>Зміна або розширення вимог Замовником у процесі розробки (scope creep). Наслідок — зростання обсягу робіт і зсув строків.</t>
        </is>
      </c>
      <c r="D8" s="5" t="inlineStr">
        <is>
          <t>Висока</t>
        </is>
      </c>
      <c r="E8" s="5" t="inlineStr">
        <is>
          <t>Середній</t>
        </is>
      </c>
      <c r="F8" s="5">
        <f>IF(OR(D8="",E8=""),"",INDEX({"Низька","Низька","Середня";"Низька","Середня","Висока";"Середня","Висока","Висока"},MATCH(E8,{"Низький","Середній","Високий"},0),MATCH(D8,{"Низька","Середня","Висока"},0)))</f>
        <v/>
      </c>
      <c r="G8" s="6" t="inlineStr">
        <is>
          <t>Керівник проєкту</t>
        </is>
      </c>
      <c r="H8" s="6" t="inlineStr">
        <is>
          <t>Фіксація вимог у затвердженому ТЗ (Додаток № 4 до Договору № 6767); зміни лише через Заявку на доробку згідно з п. 1.4 Договору.</t>
        </is>
      </c>
      <c r="I8" s="6" t="inlineStr">
        <is>
          <t>Оцінка кожної нової вимоги; оформлення доробки окремою угодою; перенесення реалізації на наступний реліз.</t>
        </is>
      </c>
      <c r="J8" s="6" t="inlineStr">
        <is>
          <t>ТЗ затверджено 20.02.2026; процедура доробок визначена Договором.</t>
        </is>
      </c>
      <c r="K8" s="5" t="inlineStr">
        <is>
          <t>Відкрито</t>
        </is>
      </c>
    </row>
    <row r="9">
      <c r="A9" s="5" t="inlineStr">
        <is>
          <t>1.3</t>
        </is>
      </c>
      <c r="B9" s="5" t="inlineStr">
        <is>
          <t>05.02.2026</t>
        </is>
      </c>
      <c r="C9" s="6" t="inlineStr">
        <is>
          <t>Недостатня координація команди, порушення Scrum-процесу (пропуск зустрічей, задачі поза Jira). Наслідок — втрата контролю над станом робіт.</t>
        </is>
      </c>
      <c r="D9" s="5" t="inlineStr">
        <is>
          <t>Середня</t>
        </is>
      </c>
      <c r="E9" s="5" t="inlineStr">
        <is>
          <t>Середній</t>
        </is>
      </c>
      <c r="F9" s="5">
        <f>IF(OR(D9="",E9=""),"",INDEX({"Низька","Низька","Середня";"Низька","Середня","Висока";"Середня","Висока","Висока"},MATCH(E9,{"Низький","Середній","Високий"},0),MATCH(D9,{"Низька","Середня","Висока"},0)))</f>
        <v/>
      </c>
      <c r="G9" s="6" t="inlineStr">
        <is>
          <t>Керівник проєкту</t>
        </is>
      </c>
      <c r="H9" s="6" t="inlineStr">
        <is>
          <t>Обов'язкові щоденні Stand-up; правило «немає задачі в Jira — немає роботи»; Sprint Review і Retrospective наприкінці кожного спринту.</t>
        </is>
      </c>
      <c r="I9" s="6" t="inlineStr">
        <is>
          <t>Позачергова ретроспектива; коригування процесу; ескалація керівником проєкту.</t>
        </is>
      </c>
      <c r="J9" s="6" t="inlineStr">
        <is>
          <t>Регламент зустрічей включено до плану виконання проєкту.</t>
        </is>
      </c>
      <c r="K9" s="5" t="inlineStr">
        <is>
          <t>Відкрито</t>
        </is>
      </c>
    </row>
    <row r="10">
      <c r="A10" s="4" t="inlineStr">
        <is>
          <t>ІІ. Кадрові ризики</t>
        </is>
      </c>
    </row>
    <row r="11">
      <c r="A11" s="5" t="inlineStr">
        <is>
          <t>2.1</t>
        </is>
      </c>
      <c r="B11" s="5" t="inlineStr">
        <is>
          <t>05.02.2026</t>
        </is>
      </c>
      <c r="C11" s="6" t="inlineStr">
        <is>
          <t>Хвороба або тимчасова недоступність ключового учасника команди (bus factor). Наслідок — блокування задач критичного шляху.</t>
        </is>
      </c>
      <c r="D11" s="5" t="inlineStr">
        <is>
          <t>Середня</t>
        </is>
      </c>
      <c r="E11" s="5" t="inlineStr">
        <is>
          <t>Високий</t>
        </is>
      </c>
      <c r="F11" s="5">
        <f>IF(OR(D11="",E11=""),"",INDEX({"Низька","Низька","Середня";"Низька","Середня","Висока";"Середня","Висока","Висока"},MATCH(E11,{"Низький","Середній","Високий"},0),MATCH(D11,{"Низька","Середня","Висока"},0)))</f>
        <v/>
      </c>
      <c r="G11" s="6" t="inlineStr">
        <is>
          <t>Керівник проєкту</t>
        </is>
      </c>
      <c r="H11" s="6" t="inlineStr">
        <is>
          <t>Розподіл знань через код-рев'ю та документування; спільна робота розробників з обома частинами системи; актуальна документація в репозиторії.</t>
        </is>
      </c>
      <c r="I11" s="6" t="inlineStr">
        <is>
          <t>Перерозподіл задач у межах спринту; тимчасове підвищення завантаженості інших учасників; перегляд обсягу спринту.</t>
        </is>
      </c>
      <c r="J11" s="6" t="inlineStr">
        <is>
          <t>Код-рев'ю та документування передбачені процесом розробки.</t>
        </is>
      </c>
      <c r="K11" s="5" t="inlineStr">
        <is>
          <t>Відкрито</t>
        </is>
      </c>
    </row>
    <row r="12">
      <c r="A12" s="5" t="inlineStr">
        <is>
          <t>2.2</t>
        </is>
      </c>
      <c r="B12" s="5" t="inlineStr">
        <is>
          <t>05.02.2026</t>
        </is>
      </c>
      <c r="C12" s="6" t="inlineStr">
        <is>
          <t>Нерівномірне завантаження виконавців (перевантаження розробників, простій тестувальників на ранніх етапах).</t>
        </is>
      </c>
      <c r="D12" s="5" t="inlineStr">
        <is>
          <t>Середня</t>
        </is>
      </c>
      <c r="E12" s="5" t="inlineStr">
        <is>
          <t>Низький</t>
        </is>
      </c>
      <c r="F12" s="5">
        <f>IF(OR(D12="",E12=""),"",INDEX({"Низька","Низька","Середня";"Низька","Середня","Висока";"Середня","Висока","Висока"},MATCH(E12,{"Низький","Середній","Високий"},0),MATCH(D12,{"Низька","Середня","Висока"},0)))</f>
        <v/>
      </c>
      <c r="G12" s="6" t="inlineStr">
        <is>
          <t>Керівник проєкту</t>
        </is>
      </c>
      <c r="H12" s="6" t="inlineStr">
        <is>
          <t>Планування завантаженості в плані (30/80/100/60%); залучення тестувальників до підготовки тест-кейсів із перших спринтів.</t>
        </is>
      </c>
      <c r="I12" s="6" t="inlineStr">
        <is>
          <t>Перебалансування задач на Sprint Planning; допомога аналітика в тестуванні документації.</t>
        </is>
      </c>
      <c r="J12" s="6" t="inlineStr">
        <is>
          <t>Завантаженість зафіксована в розділі 6.1 плану.</t>
        </is>
      </c>
      <c r="K12" s="5" t="inlineStr">
        <is>
          <t>Відкрито</t>
        </is>
      </c>
    </row>
    <row r="13">
      <c r="A13" s="4" t="inlineStr">
        <is>
          <t>ІІІ. Технічні ризики та ризики БД</t>
        </is>
      </c>
    </row>
    <row r="14">
      <c r="A14" s="5" t="inlineStr">
        <is>
          <t>3.1</t>
        </is>
      </c>
      <c r="B14" s="5" t="inlineStr">
        <is>
          <t>23.02.2026</t>
        </is>
      </c>
      <c r="C14" s="6" t="inlineStr">
        <is>
          <t>Втрата або пошкодження даних БД PostgreSQL (збій диска, помилкова міграція). Наслідок — втрата даних клієнтів, розкладу, абонементів, оплат.</t>
        </is>
      </c>
      <c r="D14" s="5" t="inlineStr">
        <is>
          <t>Низька</t>
        </is>
      </c>
      <c r="E14" s="5" t="inlineStr">
        <is>
          <t>Високий</t>
        </is>
      </c>
      <c r="F14" s="5">
        <f>IF(OR(D14="",E14=""),"",INDEX({"Низька","Низька","Середня";"Низька","Середня","Висока";"Середня","Висока","Висока"},MATCH(E14,{"Низький","Середній","Високий"},0),MATCH(D14,{"Низька","Середня","Висока"},0)))</f>
        <v/>
      </c>
      <c r="G14" s="6" t="inlineStr">
        <is>
          <t>Розробник Backend (Стельмах М.В.)</t>
        </is>
      </c>
      <c r="H14" s="6" t="inlineStr">
        <is>
          <t>Щоденне автоматичне резервне копіювання; перевірка міграцій на тестовій БД перед застосуванням; ідемпотентні SQL-міграції.</t>
        </is>
      </c>
      <c r="I14" s="6" t="inlineStr">
        <is>
          <t>Відновлення з останньої резервної копії; повідомлення Замовника; аналіз причин збою.</t>
        </is>
      </c>
      <c r="J14" s="6" t="inlineStr">
        <is>
          <t>Схема міграцій реалізована; резервне копіювання включено в налаштування розгортання.</t>
        </is>
      </c>
      <c r="K14" s="5" t="inlineStr">
        <is>
          <t>Відкрито</t>
        </is>
      </c>
    </row>
    <row r="15">
      <c r="A15" s="5" t="inlineStr">
        <is>
          <t>3.2</t>
        </is>
      </c>
      <c r="B15" s="5" t="inlineStr">
        <is>
          <t>23.02.2026</t>
        </is>
      </c>
      <c r="C15" s="6" t="inlineStr">
        <is>
          <t>Помилки у схемі БД, що вимагають міграцій зі зміною структури на пізніх етапах. Наслідок — доробки залежних модулів.</t>
        </is>
      </c>
      <c r="D15" s="5" t="inlineStr">
        <is>
          <t>Середня</t>
        </is>
      </c>
      <c r="E15" s="5" t="inlineStr">
        <is>
          <t>Середній</t>
        </is>
      </c>
      <c r="F15" s="5">
        <f>IF(OR(D15="",E15=""),"",INDEX({"Низька","Низька","Середня";"Низька","Середня","Висока";"Середня","Висока","Висока"},MATCH(E15,{"Низький","Середній","Високий"},0),MATCH(D15,{"Низька","Середня","Висока"},0)))</f>
        <v/>
      </c>
      <c r="G15" s="6" t="inlineStr">
        <is>
          <t>Розробник Backend (Стельмах М.В.)</t>
        </is>
      </c>
      <c r="H15" s="6" t="inlineStr">
        <is>
          <t>Аудит схеми БД на етапі проєктування; нормалізація; перевірка обмежень цілісності (FK, UNIQUE, CHECK).</t>
        </is>
      </c>
      <c r="I15" s="6" t="inlineStr">
        <is>
          <t>Керована міграція з бекапом; регресійне тестування залежних модулів.</t>
        </is>
      </c>
      <c r="J15" s="6" t="inlineStr">
        <is>
          <t>Схема БД (21 таблиця) спроєктована та проходить аудит.</t>
        </is>
      </c>
      <c r="K15" s="5" t="inlineStr">
        <is>
          <t>Відкрито</t>
        </is>
      </c>
    </row>
    <row r="16">
      <c r="A16" s="5" t="inlineStr">
        <is>
          <t>3.3</t>
        </is>
      </c>
      <c r="B16" s="5" t="inlineStr">
        <is>
          <t>16.03.2026</t>
        </is>
      </c>
      <c r="C16" s="6" t="inlineStr">
        <is>
          <t>Низька продуктивність системи при пікових зверненнях (масовий перегляд розкладу, запис на популярні заняття).</t>
        </is>
      </c>
      <c r="D16" s="5" t="inlineStr">
        <is>
          <t>Середня</t>
        </is>
      </c>
      <c r="E16" s="5" t="inlineStr">
        <is>
          <t>Середній</t>
        </is>
      </c>
      <c r="F16" s="5">
        <f>IF(OR(D16="",E16=""),"",INDEX({"Низька","Низька","Середня";"Низька","Середня","Висока";"Середня","Висока","Висока"},MATCH(E16,{"Низький","Середній","Високий"},0),MATCH(D16,{"Низька","Середня","Висока"},0)))</f>
        <v/>
      </c>
      <c r="G16" s="6" t="inlineStr">
        <is>
          <t>Розробник Backend (Стельмах М.В.)</t>
        </is>
      </c>
      <c r="H16" s="6" t="inlineStr">
        <is>
          <t>Індекси для частих запитів; обмеження частоти запитів (rate limiting); оптимізація вибірок розкладу.</t>
        </is>
      </c>
      <c r="I16" s="6" t="inlineStr">
        <is>
          <t>Профілювання повільних запитів; додаткові індекси; кешування відповідей API.</t>
        </is>
      </c>
      <c r="J16" s="6" t="inlineStr">
        <is>
          <t>Індекси передбачені схемою БД.</t>
        </is>
      </c>
      <c r="K16" s="5" t="inlineStr">
        <is>
          <t>Очікує</t>
        </is>
      </c>
    </row>
    <row r="17">
      <c r="A17" s="4" t="inlineStr">
        <is>
          <t>ІV. Ризики інформаційної безпеки</t>
        </is>
      </c>
    </row>
    <row r="18">
      <c r="A18" s="5" t="inlineStr">
        <is>
          <t>4.1</t>
        </is>
      </c>
      <c r="B18" s="5" t="inlineStr">
        <is>
          <t>23.02.2026</t>
        </is>
      </c>
      <c r="C18" s="6" t="inlineStr">
        <is>
          <t>Вразливості безпеки та витік персональних даних клієнтів (кібератака, SQL-ін'єкції, підбір паролів).</t>
        </is>
      </c>
      <c r="D18" s="5" t="inlineStr">
        <is>
          <t>Середня</t>
        </is>
      </c>
      <c r="E18" s="5" t="inlineStr">
        <is>
          <t>Високий</t>
        </is>
      </c>
      <c r="F18" s="5">
        <f>IF(OR(D18="",E18=""),"",INDEX({"Низька","Низька","Середня";"Низька","Середня","Висока";"Середня","Висока","Висока"},MATCH(E18,{"Низький","Середній","Високий"},0),MATCH(D18,{"Низька","Середня","Висока"},0)))</f>
        <v/>
      </c>
      <c r="G18" s="6" t="inlineStr">
        <is>
          <t>Розробник Backend (Стельмах М.В.)</t>
        </is>
      </c>
      <c r="H18" s="6" t="inlineStr">
        <is>
          <t>Хешування паролів (bcrypt); JWT-автентифікація; 2FA через email-коди; параметризовані SQL-запити; rate limiting; HTTPS.</t>
        </is>
      </c>
      <c r="I18" s="6" t="inlineStr">
        <is>
          <t>Блокування скомпрометованих облікових записів; усунення вразливості; примусова зміна паролів; інформування Замовника.</t>
        </is>
      </c>
      <c r="J18" s="6" t="inlineStr">
        <is>
          <t>Механізми авторизації та 2FA включені до задач спринту 2.</t>
        </is>
      </c>
      <c r="K18" s="5" t="inlineStr">
        <is>
          <t>Відкрито</t>
        </is>
      </c>
    </row>
    <row r="19">
      <c r="A19" s="5" t="inlineStr">
        <is>
          <t>4.2</t>
        </is>
      </c>
      <c r="B19" s="5" t="inlineStr">
        <is>
          <t>23.02.2026</t>
        </is>
      </c>
      <c r="C19" s="6" t="inlineStr">
        <is>
          <t>Некоректне розмежування прав доступу ролей (клієнт отримує функції адміністратора; менеджер редагує розклад чи тарифи всупереч ТЗ).</t>
        </is>
      </c>
      <c r="D19" s="5" t="inlineStr">
        <is>
          <t>Середня</t>
        </is>
      </c>
      <c r="E19" s="5" t="inlineStr">
        <is>
          <t>Високий</t>
        </is>
      </c>
      <c r="F19" s="5">
        <f>IF(OR(D19="",E19=""),"",INDEX({"Низька","Низька","Середня";"Низька","Середня","Висока";"Середня","Висока","Висока"},MATCH(E19,{"Низький","Середній","Високий"},0),MATCH(D19,{"Низька","Середня","Висока"},0)))</f>
        <v/>
      </c>
      <c r="G19" s="6" t="inlineStr">
        <is>
          <t>Розробник Backend (Стельмах М.В.)</t>
        </is>
      </c>
      <c r="H19" s="6" t="inlineStr">
        <is>
          <t>Централізована перевірка ролі на кожному маршруті API; матриця прав із ТЗ як основа тест-кейсів; код-рев'ю змін безпеки.</t>
        </is>
      </c>
      <c r="I19" s="6" t="inlineStr">
        <is>
          <t>Негайне виправлення перевірки прав; регресійне тестування всіх ролей; позачерговий реліз виправлення.</t>
        </is>
      </c>
      <c r="J19" s="6" t="inlineStr">
        <is>
          <t>Матриця прав п'яти ролей зафіксована в ТЗ і Технічному проєкті.</t>
        </is>
      </c>
      <c r="K19" s="5" t="inlineStr">
        <is>
          <t>Відкрито</t>
        </is>
      </c>
    </row>
    <row r="20">
      <c r="A20" s="4" t="inlineStr">
        <is>
          <t>V. Ризики PWA, сумісності та розгортання</t>
        </is>
      </c>
    </row>
    <row r="21">
      <c r="A21" s="5" t="inlineStr">
        <is>
          <t>5.1</t>
        </is>
      </c>
      <c r="B21" s="5" t="inlineStr">
        <is>
          <t>16.03.2026</t>
        </is>
      </c>
      <c r="C21" s="6" t="inlineStr">
        <is>
          <t>Некоректна робота PWA в окремих браузерах або на окремих пристроях (Service Worker, офлайн-режим, встановлення).</t>
        </is>
      </c>
      <c r="D21" s="5" t="inlineStr">
        <is>
          <t>Висока</t>
        </is>
      </c>
      <c r="E21" s="5" t="inlineStr">
        <is>
          <t>Середній</t>
        </is>
      </c>
      <c r="F21" s="5">
        <f>IF(OR(D21="",E21=""),"",INDEX({"Низька","Низька","Середня";"Низька","Середня","Висока";"Середня","Висока","Висока"},MATCH(E21,{"Низький","Середній","Високий"},0),MATCH(D21,{"Низька","Середня","Висока"},0)))</f>
        <v/>
      </c>
      <c r="G21" s="6" t="inlineStr">
        <is>
          <t>Тестувальник (Галун Є.А.)</t>
        </is>
      </c>
      <c r="H21" s="6" t="inlineStr">
        <is>
          <t>Кросбраузерне тестування (Chrome, Edge, Firefox, Safari); використання стандартних Web API; матриця пристроїв для тестування.</t>
        </is>
      </c>
      <c r="I21" s="6" t="inlineStr">
        <is>
          <t>Терміновe виправлення (hotfix); рекомендація підтримуваного браузера; коректна деградація функцій.</t>
        </is>
      </c>
      <c r="J21" s="6" t="inlineStr">
        <is>
          <t>Матриця браузерів включена до плану тестування.</t>
        </is>
      </c>
      <c r="K21" s="5" t="inlineStr">
        <is>
          <t>Очікує</t>
        </is>
      </c>
    </row>
    <row r="22">
      <c r="A22" s="5" t="inlineStr">
        <is>
          <t>5.2</t>
        </is>
      </c>
      <c r="B22" s="5" t="inlineStr">
        <is>
          <t>16.03.2026</t>
        </is>
      </c>
      <c r="C22" s="6" t="inlineStr">
        <is>
          <t>Недоступність push-сповіщень на окремих платформах чи при закритому браузері. Наслідок — клієнти не отримують нагадувань.</t>
        </is>
      </c>
      <c r="D22" s="5" t="inlineStr">
        <is>
          <t>Висока</t>
        </is>
      </c>
      <c r="E22" s="5" t="inlineStr">
        <is>
          <t>Низький</t>
        </is>
      </c>
      <c r="F22" s="5">
        <f>IF(OR(D22="",E22=""),"",INDEX({"Низька","Низька","Середня";"Низька","Середня","Висока";"Середня","Висока","Висока"},MATCH(E22,{"Низький","Середній","Високий"},0),MATCH(D22,{"Низька","Середня","Висока"},0)))</f>
        <v/>
      </c>
      <c r="G22" s="6" t="inlineStr">
        <is>
          <t>Розробник Backend (Стельмах М.В.)</t>
        </is>
      </c>
      <c r="H22" s="6" t="inlineStr">
        <is>
          <t>Використання стандарту Web Push (VAPID); дублювання критичних сповіщень у застосунку; перевірка підписок.</t>
        </is>
      </c>
      <c r="I22" s="6" t="inlineStr">
        <is>
          <t>Діагностика підписок; повторна підписка користувача; інформування про обмеження платформи.</t>
        </is>
      </c>
      <c r="J22" s="6" t="inlineStr">
        <is>
          <t>Модуль push-сповіщень запланований у спринті 5.</t>
        </is>
      </c>
      <c r="K22" s="5" t="inlineStr">
        <is>
          <t>Очікує</t>
        </is>
      </c>
    </row>
    <row r="23">
      <c r="A23" s="5" t="inlineStr">
        <is>
          <t>5.3</t>
        </is>
      </c>
      <c r="B23" s="5" t="inlineStr">
        <is>
          <t>16.03.2026</t>
        </is>
      </c>
      <c r="C23" s="6" t="inlineStr">
        <is>
          <t>Проблеми локального розгортання на обладнанні Замовника (несумісність середовища, брак ресурсів).</t>
        </is>
      </c>
      <c r="D23" s="5" t="inlineStr">
        <is>
          <t>Середня</t>
        </is>
      </c>
      <c r="E23" s="5" t="inlineStr">
        <is>
          <t>Середній</t>
        </is>
      </c>
      <c r="F23" s="5">
        <f>IF(OR(D23="",E23=""),"",INDEX({"Низька","Низька","Середня";"Низька","Середня","Висока";"Середня","Висока","Висока"},MATCH(E23,{"Низький","Середній","Високий"},0),MATCH(D23,{"Низька","Середня","Висока"},0)))</f>
        <v/>
      </c>
      <c r="G23" s="6" t="inlineStr">
        <is>
          <t>Розробник Backend (Стельмах М.В.)</t>
        </is>
      </c>
      <c r="H23" s="6" t="inlineStr">
        <is>
          <t>Контейнеризація (Docker Compose); документовані системні вимоги; попередня перевірка обладнання Замовника.</t>
        </is>
      </c>
      <c r="I23" s="6" t="inlineStr">
        <is>
          <t>Налаштування середовища на місці; підбір сумісної конфігурації; тимчасовий тестовий стенд Виконавця.</t>
        </is>
      </c>
      <c r="J23" s="6" t="inlineStr">
        <is>
          <t>Конфігурація Docker Compose підготовлена в межах середовища розробки.</t>
        </is>
      </c>
      <c r="K23" s="5" t="inlineStr">
        <is>
          <t>Очікує</t>
        </is>
      </c>
    </row>
    <row r="24">
      <c r="A24" s="5" t="inlineStr">
        <is>
          <t>5.4</t>
        </is>
      </c>
      <c r="B24" s="5" t="inlineStr">
        <is>
          <t>16.03.2026</t>
        </is>
      </c>
      <c r="C24" s="6" t="inlineStr">
        <is>
          <t>Недоступність зовнішнього AI-сервісу для AI-асистента клієнта. Наслідок — тимчасова непрацездатність допоміжної функції.</t>
        </is>
      </c>
      <c r="D24" s="5" t="inlineStr">
        <is>
          <t>Середня</t>
        </is>
      </c>
      <c r="E24" s="5" t="inlineStr">
        <is>
          <t>Низький</t>
        </is>
      </c>
      <c r="F24" s="5">
        <f>IF(OR(D24="",E24=""),"",INDEX({"Низька","Низька","Середня";"Низька","Середня","Висока";"Середня","Висока","Висока"},MATCH(E24,{"Низький","Середній","Високий"},0),MATCH(D24,{"Низька","Середня","Висока"},0)))</f>
        <v/>
      </c>
      <c r="G24" s="6" t="inlineStr">
        <is>
          <t>Розробник Backend (Стельмах М.В.)</t>
        </is>
      </c>
      <c r="H24" s="6" t="inlineStr">
        <is>
          <t>Обробка помилок і таймаутів; коректне повідомлення користувачу; незалежність основного функціоналу від AI-асистента.</t>
        </is>
      </c>
      <c r="I24" s="6" t="inlineStr">
        <is>
          <t>Тимчасове вимкнення асистента; повторні спроби з'єднання; відновлення після доступності сервісу.</t>
        </is>
      </c>
      <c r="J24" s="6" t="inlineStr">
        <is>
          <t>AI-асистент відокремлений від критичного функціоналу в архітектурі.</t>
        </is>
      </c>
      <c r="K24" s="5" t="inlineStr">
        <is>
          <t>Очікує</t>
        </is>
      </c>
    </row>
    <row r="25">
      <c r="A25" s="4" t="inlineStr">
        <is>
          <t>VІ. Функціональні ризики предметної області</t>
        </is>
      </c>
    </row>
    <row r="26">
      <c r="A26" s="5" t="inlineStr">
        <is>
          <t>6.1</t>
        </is>
      </c>
      <c r="B26" s="5" t="inlineStr">
        <is>
          <t>16.03.2026</t>
        </is>
      </c>
      <c r="C26" s="6" t="inlineStr">
        <is>
          <t>Перевищення місткості заняття або подвійний запис клієнта при одночасних запитах. Наслідок — конфлікти в розкладі, невдоволення клієнтів.</t>
        </is>
      </c>
      <c r="D26" s="5" t="inlineStr">
        <is>
          <t>Середня</t>
        </is>
      </c>
      <c r="E26" s="5" t="inlineStr">
        <is>
          <t>Середній</t>
        </is>
      </c>
      <c r="F26" s="5">
        <f>IF(OR(D26="",E26=""),"",INDEX({"Низька","Низька","Середня";"Низька","Середня","Висока";"Середня","Висока","Висока"},MATCH(E26,{"Низький","Середній","Високий"},0),MATCH(D26,{"Низька","Середня","Висока"},0)))</f>
        <v/>
      </c>
      <c r="G26" s="6" t="inlineStr">
        <is>
          <t>Розробник Backend (Стельмах М.В.)</t>
        </is>
      </c>
      <c r="H26" s="6" t="inlineStr">
        <is>
          <t>Транзакційна перевірка вільних місць при бронюванні; унікальний індекс активного запису на рівні БД; місткість задається для послуги.</t>
        </is>
      </c>
      <c r="I26" s="6" t="inlineStr">
        <is>
          <t>Скасування помилкового запису; повідомлення клієнта; аналіз журналу конфліктів.</t>
        </is>
      </c>
      <c r="J26" s="6" t="inlineStr">
        <is>
          <t>Транзакційна логіка бронювання включена до задач спринтів 3–4.</t>
        </is>
      </c>
      <c r="K26" s="5" t="inlineStr">
        <is>
          <t>Очікує</t>
        </is>
      </c>
    </row>
    <row r="27">
      <c r="A27" s="5" t="inlineStr">
        <is>
          <t>6.2</t>
        </is>
      </c>
      <c r="B27" s="5" t="inlineStr">
        <is>
          <t>16.03.2026</t>
        </is>
      </c>
      <c r="C27" s="6" t="inlineStr">
        <is>
          <t>Некоректне визначення строку дії або типу абонемента при записі (запис за простроченим або невідповідним абонементом).</t>
        </is>
      </c>
      <c r="D27" s="5" t="inlineStr">
        <is>
          <t>Середня</t>
        </is>
      </c>
      <c r="E27" s="5" t="inlineStr">
        <is>
          <t>Середній</t>
        </is>
      </c>
      <c r="F27" s="5">
        <f>IF(OR(D27="",E27=""),"",INDEX({"Низька","Низька","Середня";"Низька","Середня","Висока";"Середня","Висока","Висока"},MATCH(E27,{"Низький","Середній","Високий"},0),MATCH(D27,{"Низька","Середня","Висока"},0)))</f>
        <v/>
      </c>
      <c r="G27" s="6" t="inlineStr">
        <is>
          <t>Розробник Backend (Стельмах М.В.)</t>
        </is>
      </c>
      <c r="H27" s="6" t="inlineStr">
        <is>
          <t>Перевірка активності абонемента та відповідності типу доступу категорії заняття при кожному бронюванні; тест-кейси на межові дати.</t>
        </is>
      </c>
      <c r="I27" s="6" t="inlineStr">
        <is>
          <t>Коригування записів адміністратором; виправлення перевірки; повторне тестування.</t>
        </is>
      </c>
      <c r="J27" s="6" t="inlineStr">
        <is>
          <t>Правила відповідності абонемента типу заняття зафіксовані в Технічному проєкті.</t>
        </is>
      </c>
      <c r="K27" s="5" t="inlineStr">
        <is>
          <t>Очікує</t>
        </is>
      </c>
    </row>
    <row r="28">
      <c r="A28" s="5" t="inlineStr">
        <is>
          <t>6.3</t>
        </is>
      </c>
      <c r="B28" s="5" t="inlineStr">
        <is>
          <t>16.03.2026</t>
        </is>
      </c>
      <c r="C28" s="6" t="inlineStr">
        <is>
          <t>Помилкове автоматичне зарахування відвідування (зарахування скасованого запису або незарахування фактичного).</t>
        </is>
      </c>
      <c r="D28" s="5" t="inlineStr">
        <is>
          <t>Низька</t>
        </is>
      </c>
      <c r="E28" s="5" t="inlineStr">
        <is>
          <t>Середній</t>
        </is>
      </c>
      <c r="F28" s="5">
        <f>IF(OR(D28="",E28=""),"",INDEX({"Низька","Низька","Середня";"Низька","Середня","Висока";"Середня","Висока","Висока"},MATCH(E28,{"Низький","Середній","Високий"},0),MATCH(D28,{"Низька","Середня","Висока"},0)))</f>
        <v/>
      </c>
      <c r="G28" s="6" t="inlineStr">
        <is>
          <t>Тестувальник (Федорівський І.В.)</t>
        </is>
      </c>
      <c r="H28" s="6" t="inlineStr">
        <is>
          <t>Чіткі правила автозарахування (записаний і не скасував — зараховано); фіксація приходу адміністратором як незалежний механізм; тест-кейси.</t>
        </is>
      </c>
      <c r="I28" s="6" t="inlineStr">
        <is>
          <t>Ручне коригування відвідування адміністратором; виправлення логіки; регресійне тестування.</t>
        </is>
      </c>
      <c r="J28" s="6" t="inlineStr">
        <is>
          <t>Правила обліку відвідувань визначені в ТЗ.</t>
        </is>
      </c>
      <c r="K28" s="5" t="inlineStr">
        <is>
          <t>Очікує</t>
        </is>
      </c>
    </row>
    <row r="29">
      <c r="A29" s="4" t="inlineStr">
        <is>
          <t>VІІ. Ризики якості</t>
        </is>
      </c>
    </row>
    <row r="30">
      <c r="A30" s="5" t="inlineStr">
        <is>
          <t>7.1</t>
        </is>
      </c>
      <c r="B30" s="5" t="inlineStr">
        <is>
          <t>16.03.2026</t>
        </is>
      </c>
      <c r="C30" s="6" t="inlineStr">
        <is>
          <t>Недостатнє тестове покриття перед релізом версії. Наслідок — критичні дефекти у v0.2/v1.0, зрив приймальних випробувань.</t>
        </is>
      </c>
      <c r="D30" s="5" t="inlineStr">
        <is>
          <t>Середня</t>
        </is>
      </c>
      <c r="E30" s="5" t="inlineStr">
        <is>
          <t>Високий</t>
        </is>
      </c>
      <c r="F30" s="5">
        <f>IF(OR(D30="",E30=""),"",INDEX({"Низька","Низька","Середня";"Низька","Середня","Висока";"Середня","Висока","Висока"},MATCH(E30,{"Низький","Середній","Високий"},0),MATCH(D30,{"Низька","Середня","Висока"},0)))</f>
        <v/>
      </c>
      <c r="G30" s="6" t="inlineStr">
        <is>
          <t>Тестувальник (Федорівський І.В.)</t>
        </is>
      </c>
      <c r="H30" s="6" t="inlineStr">
        <is>
          <t>Тестування в кожному спринті; регресія перед кожним релізом; критерії готовності версій (розділ 5 плану); попередні випробування бета-версії.</t>
        </is>
      </c>
      <c r="I30" s="6" t="inlineStr">
        <is>
          <t>Продовження стабілізації в межах етапу 6; позачерговий цикл тестування; перенесення релізу за погодженням.</t>
        </is>
      </c>
      <c r="J30" s="6" t="inlineStr">
        <is>
          <t>Тестування включено до складу кожного спринту в плані.</t>
        </is>
      </c>
      <c r="K30" s="5" t="inlineStr">
        <is>
          <t>Відкрито</t>
        </is>
      </c>
    </row>
    <row r="32">
      <c r="A32" s="7" t="inlineStr">
        <is>
          <t>Критичність обчислюється автоматично за матрицею 3×3 (аркуш «Таблиця критичності»). Перегляд ризиків здійснюється щотижнево керівником проєкту.</t>
        </is>
      </c>
    </row>
  </sheetData>
  <mergeCells count="10">
    <mergeCell ref="A6:K6"/>
    <mergeCell ref="A2:B2"/>
    <mergeCell ref="A20:K20"/>
    <mergeCell ref="A29:K29"/>
    <mergeCell ref="A25:K25"/>
    <mergeCell ref="A10:K10"/>
    <mergeCell ref="A32:K32"/>
    <mergeCell ref="A13:K13"/>
    <mergeCell ref="A3:B3"/>
    <mergeCell ref="A17:K17"/>
  </mergeCells>
  <conditionalFormatting sqref="F6:F30">
    <cfRule type="cellIs" priority="1" operator="equal" dxfId="0">
      <formula>"Висока"</formula>
    </cfRule>
    <cfRule type="cellIs" priority="2" operator="equal" dxfId="1">
      <formula>"Середня"</formula>
    </cfRule>
    <cfRule type="cellIs" priority="3" operator="equal" dxfId="2">
      <formula>"Низька"</formula>
    </cfRule>
  </conditionalFormatting>
  <dataValidations count="3">
    <dataValidation sqref="D6:D30" showDropDown="0" showInputMessage="0" showErrorMessage="0" allowBlank="1" type="list">
      <formula1>"Низька,Середня,Висока"</formula1>
    </dataValidation>
    <dataValidation sqref="E6:E30" showDropDown="0" showInputMessage="0" showErrorMessage="0" allowBlank="1" type="list">
      <formula1>"Низький,Середній,Високий"</formula1>
    </dataValidation>
    <dataValidation sqref="K6:K30" showDropDown="0" showInputMessage="0" showErrorMessage="0" allowBlank="1" type="list">
      <formula1>"Відкрито,Очікує,Закрито"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Таблиця критичності (матриця ризиків 3×3)</t>
        </is>
      </c>
    </row>
    <row r="3">
      <c r="C3" s="9" t="inlineStr">
        <is>
          <t>Ймовірність</t>
        </is>
      </c>
    </row>
    <row r="4">
      <c r="C4" s="10" t="inlineStr">
        <is>
          <t>Низька (1)</t>
        </is>
      </c>
      <c r="D4" s="10" t="inlineStr">
        <is>
          <t>Середня (2)</t>
        </is>
      </c>
      <c r="E4" s="10" t="inlineStr">
        <is>
          <t>Висока (3)</t>
        </is>
      </c>
    </row>
    <row r="5">
      <c r="A5" s="11" t="inlineStr">
        <is>
          <t>Вплив</t>
        </is>
      </c>
      <c r="B5" s="12" t="inlineStr">
        <is>
          <t>Низький (1)</t>
        </is>
      </c>
      <c r="C5" s="13" t="inlineStr">
        <is>
          <t>Низька</t>
        </is>
      </c>
      <c r="D5" s="13" t="inlineStr">
        <is>
          <t>Низька</t>
        </is>
      </c>
      <c r="E5" s="14" t="inlineStr">
        <is>
          <t>Середня</t>
        </is>
      </c>
    </row>
    <row r="6">
      <c r="B6" s="12" t="inlineStr">
        <is>
          <t>Середній (2)</t>
        </is>
      </c>
      <c r="C6" s="13" t="inlineStr">
        <is>
          <t>Низька</t>
        </is>
      </c>
      <c r="D6" s="14" t="inlineStr">
        <is>
          <t>Середня</t>
        </is>
      </c>
      <c r="E6" s="15" t="inlineStr">
        <is>
          <t>Висока</t>
        </is>
      </c>
    </row>
    <row r="7">
      <c r="B7" s="12" t="inlineStr">
        <is>
          <t>Високий (3)</t>
        </is>
      </c>
      <c r="C7" s="14" t="inlineStr">
        <is>
          <t>Середня</t>
        </is>
      </c>
      <c r="D7" s="15" t="inlineStr">
        <is>
          <t>Висока</t>
        </is>
      </c>
      <c r="E7" s="15" t="inlineStr">
        <is>
          <t>Висока</t>
        </is>
      </c>
    </row>
    <row r="10">
      <c r="A10" s="2" t="inlineStr">
        <is>
          <t>Розподіл ризиків проєкту за матрицею:</t>
        </is>
      </c>
    </row>
    <row r="11">
      <c r="C11" s="10" t="inlineStr">
        <is>
          <t>Низька (1)</t>
        </is>
      </c>
      <c r="D11" s="10" t="inlineStr">
        <is>
          <t>Середня (2)</t>
        </is>
      </c>
      <c r="E11" s="10" t="inlineStr">
        <is>
          <t>Висока (3)</t>
        </is>
      </c>
    </row>
    <row r="12">
      <c r="B12" s="12" t="inlineStr">
        <is>
          <t>Низький (1)</t>
        </is>
      </c>
      <c r="C12" s="16" t="inlineStr"/>
      <c r="D12" s="16" t="inlineStr">
        <is>
          <t>2.2, 5.4</t>
        </is>
      </c>
      <c r="E12" s="17" t="inlineStr">
        <is>
          <t>5.2</t>
        </is>
      </c>
    </row>
    <row r="13">
      <c r="B13" s="12" t="inlineStr">
        <is>
          <t>Середній (2)</t>
        </is>
      </c>
      <c r="C13" s="16" t="inlineStr">
        <is>
          <t>6.3</t>
        </is>
      </c>
      <c r="D13" s="17" t="inlineStr">
        <is>
          <t>1.3, 3.2, 3.3, 5.3, 6.1, 6.2</t>
        </is>
      </c>
      <c r="E13" s="18" t="inlineStr">
        <is>
          <t>1.2, 5.1</t>
        </is>
      </c>
    </row>
    <row r="14">
      <c r="B14" s="12" t="inlineStr">
        <is>
          <t>Високий (3)</t>
        </is>
      </c>
      <c r="C14" s="17" t="inlineStr">
        <is>
          <t>3.1</t>
        </is>
      </c>
      <c r="D14" s="18" t="inlineStr">
        <is>
          <t>1.1, 2.1, 4.1, 4.2, 7.1</t>
        </is>
      </c>
      <c r="E14" s="18" t="inlineStr"/>
    </row>
  </sheetData>
  <mergeCells count="2">
    <mergeCell ref="C3:E3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2026-07-18T20:14:37Z</dcterms:created>
  <dcterms:modified xmlns:dcterms="http://purl.org/dc/terms/" xmlns:xsi="http://www.w3.org/2001/XMLSchema-instance" xsi:type="dcterms:W3CDTF">2026-07-18T20:14:37Z</dcterms:modified>
</cp:coreProperties>
</file>